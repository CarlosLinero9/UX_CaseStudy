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f4a154983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stionario SUS" sheetId="1" r:id="R21f3baf9fd41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sz val="9"/>
      <x:name val="Calibri"/>
    </x:font>
    <x:font>
      <x:b/>
      <x:sz val="9"/>
      <x:name val="Calibri"/>
    </x:font>
    <x:font>
      <x:b/>
      <x:sz val="8"/>
      <x:name val="Calibri"/>
    </x:font>
    <x:font>
      <x:sz val="8"/>
      <x:name val="Calibri"/>
    </x:font>
    <x:font>
      <x:sz val="8"/>
      <x:color rgb="2563EB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3F4F6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E5E7EB"/>
      </x:patternFill>
    </x:fill>
    <x:fill>
      <x:patternFill patternType="solid">
        <x:fgColor rgb="EFF6FF"/>
      </x:patternFill>
    </x:fill>
    <x:fill>
      <x:patternFill patternType="solid">
        <x:fgColor rgb="F0FDF4"/>
      </x:patternFill>
    </x:fill>
    <x:fill>
      <x:patternFill patternType="solid">
        <x:fgColor rgb="F9FAFB"/>
      </x:patternFill>
    </x:fill>
    <x:fill>
      <x:patternFill patternType="solid">
        <x:fgColor rgb="FEF3C7"/>
      </x:patternFill>
    </x:fill>
    <x:fill>
      <x:patternFill patternType="solid">
        <x:fgColor rgb="FDE68A"/>
      </x:patternFill>
    </x:fill>
    <x:fill>
      <x:patternFill patternType="solid">
        <x:fgColor rgb="D9F99D"/>
      </x:patternFill>
    </x:fill>
  </x:fills>
  <x:borders count="4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right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right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left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2" fillId="11" borderId="3" xfId="0" applyNumberFormat="1" applyFont="1" applyFill="1" applyBorder="1" applyAlignment="1">
      <x:alignment horizontal="center" vertical="center" wrapText="1"/>
    </x:xf>
    <x:xf numFmtId="200" fontId="2" fillId="10" borderId="2" xfId="0" applyNumberFormat="1" applyFont="1" applyFill="1" applyBorder="1" applyAlignment="1">
      <x:alignment horizontal="center" vertical="center" wrapText="1"/>
    </x:xf>
    <x:xf numFmtId="200" fontId="2" fillId="11" borderId="2" xfId="0" applyNumberFormat="1" applyFont="1" applyFill="1" applyBorder="1" applyAlignment="1">
      <x:alignment horizontal="center" vertical="center" wrapText="1"/>
    </x:xf>
    <x:xf numFmtId="200" fontId="2" fillId="10" borderId="3" xfId="0" applyNumberFormat="1" applyFont="1" applyFill="1" applyBorder="1" applyAlignment="1">
      <x:alignment horizontal="center" vertical="center" wrapText="1"/>
    </x:xf>
    <x:xf numFmtId="200" fontId="2" fillId="11" borderId="3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504cf19fe46e1" /><Relationship Type="http://schemas.openxmlformats.org/officeDocument/2006/relationships/theme" Target="/xl/theme/theme1.xml" Id="Rd2addc06a51741d8" /><Relationship Type="http://schemas.openxmlformats.org/officeDocument/2006/relationships/sharedStrings" Target="/xl/sharedStrings.xml" Id="R9e00e796eebe4ca2" /><Relationship Type="http://schemas.openxmlformats.org/officeDocument/2006/relationships/worksheet" Target="/xl/worksheets/sheet1.xml" Id="R21f3baf9fd41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2" hidden="0" customWidth="1"/>
    <x:col min="3" max="3" width="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2" customHeight="1">
      <x:c r="A1" s="13" t="str">
        <x:v>EQUIPO:</x:v>
      </x:c>
      <x:c r="B1" s="13" t="str">
        <x:v>DIU2 - LecheConCafe</x:v>
      </x:c>
      <x:c r="C1" s="13" t="str"/>
      <x:c r="D1" s="13" t="str"/>
      <x:c r="E1" s="16" t="str">
        <x:v>TEST A:</x:v>
      </x:c>
      <x:c r="F1" s="16" t="str"/>
      <x:c r="G1" s="18" t="str">
        <x:v>TEST B:</x:v>
      </x:c>
      <x:c r="H1" s="18" t="str"/>
    </x:row>
    <x:row r="2" ht="22" customHeight="1">
      <x:c r="A2" s="13" t="str">
        <x:v>DISEÑO DE INTERFACES DE USUARIO</x:v>
      </x:c>
      <x:c r="B2" s="13" t="str"/>
      <x:c r="C2" s="13" t="str"/>
      <x:c r="D2" s="13" t="str"/>
      <x:c r="E2" s="16" t="str">
        <x:v>Web: Punto Café</x:v>
      </x:c>
      <x:c r="F2" s="16" t="str"/>
      <x:c r="G2" s="18" t="str">
        <x:v>Web: Umai! 旨い</x:v>
      </x:c>
      <x:c r="H2" s="18" t="str"/>
    </x:row>
    <x:row r="3" ht="22" customHeight="1">
      <x:c r="A3" s="13" t="str">
        <x:v>PRACTICA 4 - Cuestionario SUS</x:v>
      </x:c>
      <x:c r="B3" s="13" t="str"/>
      <x:c r="C3" s="13" t="str"/>
      <x:c r="D3" s="13" t="str"/>
      <x:c r="E3" s="16" t="str">
        <x:v>A - TESTING</x:v>
      </x:c>
      <x:c r="F3" s="16" t="str"/>
      <x:c r="G3" s="18" t="str">
        <x:v>B - TESTING</x:v>
      </x:c>
      <x:c r="H3" s="18" t="str"/>
    </x:row>
    <x:row r="4" ht="18" customHeight="1">
      <x:c r="A4" s="10" t="str"/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18" customHeight="1">
      <x:c r="A5" s="10" t="str"/>
      <x:c r="B5" s="10" t="str"/>
      <x:c r="C5" s="10" t="str"/>
      <x:c r="D5" s="22" t="str">
        <x:v>USUARIO ID</x:v>
      </x:c>
      <x:c r="E5" s="30" t="str">
        <x:v>AUSER1</x:v>
      </x:c>
      <x:c r="F5" s="30" t="str">
        <x:v>AUSER2</x:v>
      </x:c>
      <x:c r="G5" s="31" t="str">
        <x:v>BUSER1</x:v>
      </x:c>
      <x:c r="H5" s="31" t="str">
        <x:v>BUSER2</x:v>
      </x:c>
    </x:row>
    <x:row r="6" ht="18" customHeight="1">
      <x:c r="A6" s="10" t="str"/>
      <x:c r="B6" s="10" t="str"/>
      <x:c r="C6" s="10" t="str"/>
      <x:c r="D6" s="22" t="str">
        <x:v>SEXO</x:v>
      </x:c>
      <x:c r="E6" s="26" t="str">
        <x:v>Mujer</x:v>
      </x:c>
      <x:c r="F6" s="26" t="str">
        <x:v>Hombre</x:v>
      </x:c>
      <x:c r="G6" s="28" t="str">
        <x:v>Mujer</x:v>
      </x:c>
      <x:c r="H6" s="28" t="str">
        <x:v>Hombre</x:v>
      </x:c>
    </x:row>
    <x:row r="7" ht="18" customHeight="1">
      <x:c r="A7" s="10" t="str"/>
      <x:c r="B7" s="10" t="str"/>
      <x:c r="C7" s="10" t="str"/>
      <x:c r="D7" s="22" t="str">
        <x:v>EDAD</x:v>
      </x:c>
      <x:c r="E7" s="26" t="n">
        <x:v>21</x:v>
      </x:c>
      <x:c r="F7" s="26" t="n">
        <x:v>52</x:v>
      </x:c>
      <x:c r="G7" s="28" t="n">
        <x:v>34</x:v>
      </x:c>
      <x:c r="H7" s="28" t="n">
        <x:v>19</x:v>
      </x:c>
    </x:row>
    <x:row r="8" ht="18" customHeight="1">
      <x:c r="A8" s="10" t="str"/>
      <x:c r="B8" s="10" t="str"/>
      <x:c r="C8" s="10" t="str"/>
      <x:c r="D8" s="22" t="str">
        <x:v>OCUPACIÓN</x:v>
      </x:c>
      <x:c r="E8" s="26" t="str">
        <x:v>Estudiante universitaria</x:v>
      </x:c>
      <x:c r="F8" s="26" t="str">
        <x:v>Administrativo</x:v>
      </x:c>
      <x:c r="G8" s="28" t="str">
        <x:v>Profesora</x:v>
      </x:c>
      <x:c r="H8" s="28" t="str">
        <x:v>Estudiante de grado</x:v>
      </x:c>
    </x:row>
    <x:row r="9" ht="18" customHeight="1">
      <x:c r="A9" s="10" t="str"/>
      <x:c r="B9" s="10" t="str"/>
      <x:c r="C9" s="10" t="str"/>
      <x:c r="D9" s="22" t="str">
        <x:v>EXPERIENCIA TIC</x:v>
      </x:c>
      <x:c r="E9" s="26" t="str">
        <x:v>Alta</x:v>
      </x:c>
      <x:c r="F9" s="26" t="str">
        <x:v>Media</x:v>
      </x:c>
      <x:c r="G9" s="28" t="str">
        <x:v>Media</x:v>
      </x:c>
      <x:c r="H9" s="28" t="str">
        <x:v>Alta</x:v>
      </x:c>
    </x:row>
    <x:row r="10" ht="18" customHeight="1">
      <x:c r="A10" s="10" t="str"/>
      <x:c r="B10" s="10" t="str"/>
      <x:c r="C10" s="10" t="str"/>
      <x:c r="D10" s="22" t="str">
        <x:v>PERFIL</x:v>
      </x:c>
      <x:c r="E10" s="26" t="str">
        <x:v>Visual y curiosa</x:v>
      </x:c>
      <x:c r="F10" s="26" t="str">
        <x:v>Práctico e impaciente</x:v>
      </x:c>
      <x:c r="G10" s="28" t="str">
        <x:v>Reflexiva y organizada</x:v>
      </x:c>
      <x:c r="H10" s="28" t="str">
        <x:v>Impulsivo y rápido</x:v>
      </x:c>
    </x:row>
    <x:row r="11" ht="18" customHeight="1">
      <x:c r="A11" s="10" t="str"/>
      <x:c r="B11" s="10" t="str"/>
      <x:c r="C11" s="10" t="str"/>
      <x:c r="D11" s="10" t="str"/>
      <x:c r="E11" s="10" t="str"/>
      <x:c r="F11" s="10" t="str"/>
      <x:c r="G11" s="10" t="str"/>
      <x:c r="H11" s="10" t="str"/>
    </x:row>
    <x:row r="12" ht="22" customHeight="1">
      <x:c r="A12" s="35" t="str">
        <x:v>CUESTIONARIO SUS</x:v>
      </x:c>
      <x:c r="B12" s="35" t="str"/>
      <x:c r="C12" s="35" t="str"/>
      <x:c r="D12" s="34" t="str">
        <x:v>(1 = desacuerdo / 5 = acuerdo)</x:v>
      </x:c>
      <x:c r="E12" s="34" t="str"/>
      <x:c r="F12" s="34" t="str"/>
      <x:c r="G12" s="34" t="str"/>
      <x:c r="H12" s="34" t="str"/>
    </x:row>
    <x:row r="13" ht="32" customHeight="1">
      <x:c r="A13" s="39" t="n">
        <x:v>1</x:v>
      </x:c>
      <x:c r="B13" s="42" t="str">
        <x:v>Creo que me gustaría usar con frecuencia este sitio web</x:v>
      </x:c>
      <x:c r="C13" s="42" t="str"/>
      <x:c r="D13" s="42" t="str"/>
      <x:c r="E13" s="26" t="n">
        <x:v>5</x:v>
      </x:c>
      <x:c r="F13" s="26" t="n">
        <x:v>4</x:v>
      </x:c>
      <x:c r="G13" s="28" t="n">
        <x:v>4</x:v>
      </x:c>
      <x:c r="H13" s="28" t="n">
        <x:v>4</x:v>
      </x:c>
    </x:row>
    <x:row r="14" ht="32" customHeight="1">
      <x:c r="A14" s="39" t="n">
        <x:v>2</x:v>
      </x:c>
      <x:c r="B14" s="42" t="str">
        <x:v>Encontré el sitio web innecesariamente complejo</x:v>
      </x:c>
      <x:c r="C14" s="42" t="str"/>
      <x:c r="D14" s="42" t="str"/>
      <x:c r="E14" s="26" t="n">
        <x:v>2</x:v>
      </x:c>
      <x:c r="F14" s="26" t="n">
        <x:v>2</x:v>
      </x:c>
      <x:c r="G14" s="28" t="n">
        <x:v>2</x:v>
      </x:c>
      <x:c r="H14" s="28" t="n">
        <x:v>2</x:v>
      </x:c>
    </x:row>
    <x:row r="15" ht="32" customHeight="1">
      <x:c r="A15" s="39" t="n">
        <x:v>3</x:v>
      </x:c>
      <x:c r="B15" s="42" t="str">
        <x:v>Pensé que era fácil utilizar este sitio web</x:v>
      </x:c>
      <x:c r="C15" s="42" t="str"/>
      <x:c r="D15" s="42" t="str"/>
      <x:c r="E15" s="26" t="n">
        <x:v>4</x:v>
      </x:c>
      <x:c r="F15" s="26" t="n">
        <x:v>4</x:v>
      </x:c>
      <x:c r="G15" s="28" t="n">
        <x:v>4</x:v>
      </x:c>
      <x:c r="H15" s="28" t="n">
        <x:v>5</x:v>
      </x:c>
    </x:row>
    <x:row r="16" ht="32" customHeight="1">
      <x:c r="A16" s="39" t="n">
        <x:v>4</x:v>
      </x:c>
      <x:c r="B16" s="42" t="str">
        <x:v>Creo que necesitaría el apoyo de una persona experta para utilizar este sitio web</x:v>
      </x:c>
      <x:c r="C16" s="42" t="str"/>
      <x:c r="D16" s="42" t="str"/>
      <x:c r="E16" s="26" t="n">
        <x:v>1</x:v>
      </x:c>
      <x:c r="F16" s="26" t="n">
        <x:v>2</x:v>
      </x:c>
      <x:c r="G16" s="28" t="n">
        <x:v>2</x:v>
      </x:c>
      <x:c r="H16" s="28" t="n">
        <x:v>2</x:v>
      </x:c>
    </x:row>
    <x:row r="17" ht="32" customHeight="1">
      <x:c r="A17" s="39" t="n">
        <x:v>5</x:v>
      </x:c>
      <x:c r="B17" s="42" t="str">
        <x:v>Encontré las funciones del sitio bastante bien integradas</x:v>
      </x:c>
      <x:c r="C17" s="42" t="str"/>
      <x:c r="D17" s="42" t="str"/>
      <x:c r="E17" s="26" t="n">
        <x:v>5</x:v>
      </x:c>
      <x:c r="F17" s="26" t="n">
        <x:v>4</x:v>
      </x:c>
      <x:c r="G17" s="28" t="n">
        <x:v>4</x:v>
      </x:c>
      <x:c r="H17" s="28" t="n">
        <x:v>4</x:v>
      </x:c>
    </x:row>
    <x:row r="18" ht="32" customHeight="1">
      <x:c r="A18" s="39" t="n">
        <x:v>6</x:v>
      </x:c>
      <x:c r="B18" s="42" t="str">
        <x:v>Pensé que había demasiada inconsistencia en el sitio web</x:v>
      </x:c>
      <x:c r="C18" s="42" t="str"/>
      <x:c r="D18" s="42" t="str"/>
      <x:c r="E18" s="26" t="n">
        <x:v>2</x:v>
      </x:c>
      <x:c r="F18" s="26" t="n">
        <x:v>3</x:v>
      </x:c>
      <x:c r="G18" s="28" t="n">
        <x:v>3</x:v>
      </x:c>
      <x:c r="H18" s="28" t="n">
        <x:v>2</x:v>
      </x:c>
    </x:row>
    <x:row r="19" ht="32" customHeight="1">
      <x:c r="A19" s="39" t="n">
        <x:v>7</x:v>
      </x:c>
      <x:c r="B19" s="42" t="str">
        <x:v>Imagino que la mayoría de las personas aprenderían rápidamente a utilizar este sitio web</x:v>
      </x:c>
      <x:c r="C19" s="42" t="str"/>
      <x:c r="D19" s="42" t="str"/>
      <x:c r="E19" s="26" t="n">
        <x:v>5</x:v>
      </x:c>
      <x:c r="F19" s="26" t="n">
        <x:v>4</x:v>
      </x:c>
      <x:c r="G19" s="28" t="n">
        <x:v>4</x:v>
      </x:c>
      <x:c r="H19" s="28" t="n">
        <x:v>4</x:v>
      </x:c>
    </x:row>
    <x:row r="20" ht="32" customHeight="1">
      <x:c r="A20" s="39" t="n">
        <x:v>8</x:v>
      </x:c>
      <x:c r="B20" s="42" t="str">
        <x:v>Encontré el sitio web muy engorroso de utilizar</x:v>
      </x:c>
      <x:c r="C20" s="42" t="str"/>
      <x:c r="D20" s="42" t="str"/>
      <x:c r="E20" s="26" t="n">
        <x:v>1</x:v>
      </x:c>
      <x:c r="F20" s="26" t="n">
        <x:v>2</x:v>
      </x:c>
      <x:c r="G20" s="28" t="n">
        <x:v>2</x:v>
      </x:c>
      <x:c r="H20" s="28" t="n">
        <x:v>2</x:v>
      </x:c>
    </x:row>
    <x:row r="21" ht="32" customHeight="1">
      <x:c r="A21" s="39" t="n">
        <x:v>9</x:v>
      </x:c>
      <x:c r="B21" s="42" t="str">
        <x:v>Me sentí seguro/a al utilizar el sitio web</x:v>
      </x:c>
      <x:c r="C21" s="42" t="str"/>
      <x:c r="D21" s="42" t="str"/>
      <x:c r="E21" s="26" t="n">
        <x:v>4</x:v>
      </x:c>
      <x:c r="F21" s="26" t="n">
        <x:v>4</x:v>
      </x:c>
      <x:c r="G21" s="28" t="n">
        <x:v>3</x:v>
      </x:c>
      <x:c r="H21" s="28" t="n">
        <x:v>4</x:v>
      </x:c>
    </x:row>
    <x:row r="22" ht="32" customHeight="1">
      <x:c r="A22" s="39" t="n">
        <x:v>10</x:v>
      </x:c>
      <x:c r="B22" s="42" t="str">
        <x:v>Necesito aprender muchas cosas antes de manejarme con este sitio web</x:v>
      </x:c>
      <x:c r="C22" s="42" t="str"/>
      <x:c r="D22" s="42" t="str"/>
      <x:c r="E22" s="26" t="n">
        <x:v>1</x:v>
      </x:c>
      <x:c r="F22" s="26" t="n">
        <x:v>2</x:v>
      </x:c>
      <x:c r="G22" s="28" t="n">
        <x:v>2</x:v>
      </x:c>
      <x:c r="H22" s="28" t="n">
        <x:v>1</x:v>
      </x:c>
    </x:row>
    <x:row r="23" ht="18" customHeight="1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</x:row>
    <x:row r="24" ht="22" customHeight="1">
      <x:c r="A24" s="45" t="str">
        <x:v>VALORACIÓN FINAL</x:v>
      </x:c>
      <x:c r="B24" s="45" t="str"/>
      <x:c r="C24" s="45" t="str"/>
      <x:c r="D24" s="45" t="str"/>
      <x:c r="E24" s="52" t="n">
        <x:f>((E13-1)+(5-E14)+(E15-1)+(5-E16)+(E17-1)+(5-E18)+(E19-1)+(5-E20)+(E21-1)+(5-E22))*2.5</x:f>
        <x:v>90</x:v>
      </x:c>
      <x:c r="F24" s="52" t="n">
        <x:f>((F13-1)+(5-F14)+(F15-1)+(5-F16)+(F17-1)+(5-F18)+(F19-1)+(5-F20)+(F21-1)+(5-F22))*2.5</x:f>
        <x:v>72.5</x:v>
      </x:c>
      <x:c r="G24" s="53" t="n">
        <x:f>((G13-1)+(5-G14)+(G15-1)+(5-G16)+(G17-1)+(5-G18)+(G19-1)+(5-G20)+(G21-1)+(5-G22))*2.5</x:f>
        <x:v>70</x:v>
      </x:c>
      <x:c r="H24" s="53" t="n">
        <x:f>((H13-1)+(5-H14)+(H15-1)+(5-H16)+(H17-1)+(5-H18)+(H19-1)+(5-H20)+(H21-1)+(5-H22))*2.5</x:f>
        <x:v>80</x:v>
      </x:c>
    </x:row>
    <x:row r="25" ht="18" customHeight="1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</x:row>
    <x:row r="26" ht="18" customHeight="1">
      <x:c r="A26" s="57" t="str">
        <x:v>NO ACEPTABLE (SUS &lt;40)</x:v>
      </x:c>
      <x:c r="B26" s="57" t="str"/>
      <x:c r="C26" s="57" t="str"/>
      <x:c r="D26" s="57" t="str"/>
      <x:c r="E26" s="60" t="str">
        <x:f>IF(E$24&lt;40,"X","")</x:f>
      </x:c>
      <x:c r="F26" s="60" t="str">
        <x:f>IF(F$24&lt;40,"X","")</x:f>
      </x:c>
      <x:c r="G26" s="60" t="str">
        <x:f>IF(G$24&lt;40,"X","")</x:f>
      </x:c>
      <x:c r="H26" s="60" t="str">
        <x:f>IF(H$24&lt;40,"X","")</x:f>
      </x:c>
    </x:row>
    <x:row r="27" ht="18" customHeight="1">
      <x:c r="A27" s="57" t="str">
        <x:v>MARGINAL LOW (40-60)</x:v>
      </x:c>
      <x:c r="B27" s="57" t="str"/>
      <x:c r="C27" s="57" t="str"/>
      <x:c r="D27" s="57" t="str"/>
      <x:c r="E27" s="60" t="str">
        <x:f>IF(AND(E$24&gt;=40,E$24&lt;60),"X","")</x:f>
      </x:c>
      <x:c r="F27" s="60" t="str">
        <x:f>IF(AND(F$24&gt;=40,F$24&lt;60),"X","")</x:f>
      </x:c>
      <x:c r="G27" s="60" t="str">
        <x:f>IF(AND(G$24&gt;=40,G$24&lt;60),"X","")</x:f>
      </x:c>
      <x:c r="H27" s="60" t="str">
        <x:f>IF(AND(H$24&gt;=40,H$24&lt;60),"X","")</x:f>
      </x:c>
    </x:row>
    <x:row r="28" ht="18" customHeight="1">
      <x:c r="A28" s="57" t="str">
        <x:v>MARGINAL (60-70)</x:v>
      </x:c>
      <x:c r="B28" s="57" t="str"/>
      <x:c r="C28" s="57" t="str"/>
      <x:c r="D28" s="57" t="str"/>
      <x:c r="E28" s="60" t="str">
        <x:f>IF(AND(E$24&gt;=60,E$24&lt;70),"X","")</x:f>
      </x:c>
      <x:c r="F28" s="60" t="str">
        <x:f>IF(AND(F$24&gt;=60,F$24&lt;70),"X","")</x:f>
      </x:c>
      <x:c r="G28" s="60" t="str">
        <x:f>IF(AND(G$24&gt;=60,G$24&lt;70),"X","")</x:f>
      </x:c>
      <x:c r="H28" s="60" t="str">
        <x:f>IF(AND(H$24&gt;=60,H$24&lt;70),"X","")</x:f>
      </x:c>
    </x:row>
    <x:row r="29" ht="18" customHeight="1">
      <x:c r="A29" s="57" t="str">
        <x:v>ACEPTABLE TIPO C (70-80)</x:v>
      </x:c>
      <x:c r="B29" s="57" t="str"/>
      <x:c r="C29" s="57" t="str"/>
      <x:c r="D29" s="57" t="str"/>
      <x:c r="E29" s="60" t="str">
        <x:f>IF(AND(E$24&gt;=70,E$24&lt;80),"X","")</x:f>
      </x:c>
      <x:c r="F29" s="60" t="str">
        <x:f>IF(AND(F$24&gt;=70,F$24&lt;80),"X","")</x:f>
        <x:v>X</x:v>
      </x:c>
      <x:c r="G29" s="60" t="str">
        <x:f>IF(AND(G$24&gt;=70,G$24&lt;80),"X","")</x:f>
        <x:v>X</x:v>
      </x:c>
      <x:c r="H29" s="60" t="str">
        <x:f>IF(AND(H$24&gt;=70,H$24&lt;80),"X","")</x:f>
      </x:c>
    </x:row>
    <x:row r="30" ht="18" customHeight="1">
      <x:c r="A30" s="57" t="str">
        <x:v>ACEPTABLE TIPO B / EXCELENTE (80-90)</x:v>
      </x:c>
      <x:c r="B30" s="57" t="str"/>
      <x:c r="C30" s="57" t="str"/>
      <x:c r="D30" s="57" t="str"/>
      <x:c r="E30" s="60" t="str">
        <x:f>IF(AND(E$24&gt;=80,E$24&lt;90),"X","")</x:f>
      </x:c>
      <x:c r="F30" s="60" t="str">
        <x:f>IF(AND(F$24&gt;=80,F$24&lt;90),"X","")</x:f>
      </x:c>
      <x:c r="G30" s="60" t="str">
        <x:f>IF(AND(G$24&gt;=80,G$24&lt;90),"X","")</x:f>
      </x:c>
      <x:c r="H30" s="60" t="str">
        <x:f>IF(AND(H$24&gt;=80,H$24&lt;90),"X","")</x:f>
        <x:v>X</x:v>
      </x:c>
    </x:row>
    <x:row r="31" ht="18" customHeight="1">
      <x:c r="A31" s="57" t="str">
        <x:v>ACEPTABLE TIPO A / THE BEST (90-100)</x:v>
      </x:c>
      <x:c r="B31" s="57" t="str"/>
      <x:c r="C31" s="57" t="str"/>
      <x:c r="D31" s="57" t="str"/>
      <x:c r="E31" s="60" t="str">
        <x:f>IF(E$24&gt;=90,"X","")</x:f>
        <x:v>X</x:v>
      </x:c>
      <x:c r="F31" s="60" t="str">
        <x:f>IF(F$24&gt;=90,"X","")</x:f>
      </x:c>
      <x:c r="G31" s="60" t="str">
        <x:f>IF(G$24&gt;=90,"X","")</x:f>
      </x:c>
      <x:c r="H31" s="60" t="str">
        <x:f>IF(H$24&gt;=90,"X","")</x:f>
      </x:c>
    </x:row>
    <x:row r="32" ht="18" customHeight="1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</x:row>
    <x:row r="33" ht="22" customHeight="1">
      <x:c r="A33" s="13" t="str">
        <x:v>MEDIA CASO A</x:v>
      </x:c>
      <x:c r="B33" s="13" t="str"/>
      <x:c r="C33" s="13" t="str"/>
      <x:c r="D33" s="13" t="str"/>
      <x:c r="E33" s="62" t="n">
        <x:f>AVERAGE(E24:F24)</x:f>
        <x:v>81.25</x:v>
      </x:c>
      <x:c r="F33" s="13" t="str"/>
      <x:c r="G33" s="13" t="str">
        <x:v>MEDIA CASO B</x:v>
      </x:c>
      <x:c r="H33" s="62" t="n">
        <x:f>AVERAGE(G24:H24)</x:f>
        <x:v>75</x:v>
      </x:c>
    </x:row>
    <x:row r="34" ht="18" customHeight="1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</x:row>
    <x:row r="35" ht="18" customHeight="1">
      <x:c r="A35" s="65" t="str">
        <x:v>Fuente: https://www.measuringu.com/sus/</x:v>
      </x:c>
      <x:c r="B35" s="65" t="str"/>
      <x:c r="C35" s="65" t="str"/>
      <x:c r="D35" s="65" t="str"/>
      <x:c r="E35" s="65" t="str"/>
      <x:c r="F35" s="65" t="str"/>
      <x:c r="G35" s="65" t="str"/>
      <x:c r="H35" s="65" t="str"/>
    </x:row>
    <x:row r="36" ht="18" customHeight="1">
      <x:c r="A36" s="65" t="str">
        <x:v>Fuente metodología: https://www.usability.gov/how-to-and-tools/methods/system-usability-scale.html</x:v>
      </x:c>
      <x:c r="B36" s="65" t="str"/>
      <x:c r="C36" s="65" t="str"/>
      <x:c r="D36" s="65" t="str"/>
      <x:c r="E36" s="65" t="str"/>
      <x:c r="F36" s="65" t="str"/>
      <x:c r="G36" s="65" t="str"/>
      <x:c r="H36" s="65" t="str"/>
    </x:row>
  </x:sheetData>
  <x:mergeCells>
    <x:mergeCell ref="B1:D1"/>
    <x:mergeCell ref="E1:F1"/>
    <x:mergeCell ref="G1:H1"/>
    <x:mergeCell ref="A2:D2"/>
    <x:mergeCell ref="E2:F2"/>
    <x:mergeCell ref="G2:H2"/>
    <x:mergeCell ref="A3:D3"/>
    <x:mergeCell ref="E3:F3"/>
    <x:mergeCell ref="G3:H3"/>
    <x:mergeCell ref="A12:C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A24:D24"/>
    <x:mergeCell ref="A26:D26"/>
    <x:mergeCell ref="A27:D27"/>
    <x:mergeCell ref="A28:D28"/>
    <x:mergeCell ref="A29:D29"/>
    <x:mergeCell ref="A30:D30"/>
    <x:mergeCell ref="A31:D31"/>
    <x:mergeCell ref="A33:D33"/>
    <x:mergeCell ref="G33:H33"/>
    <x:mergeCell ref="A35:H35"/>
    <x:mergeCell ref="A36:H36"/>
  </x:mergeCells>
  <x:conditionalFormatting sqref="E24:H24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dataValidations count="1">
    <x:dataValidation type="list" sqref="E13:H22">
      <x:formula1>"1,2,3,4,5"</x:formula1>
    </x:dataValidation>
  </x:dataValidations>
  <x:pageMargins left="0.7" right="0.7" top="0.75" bottom="0.75" header="0.3" footer="0.3"/>
</x:worksheet>
</file>